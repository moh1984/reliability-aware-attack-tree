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raded_Defense_Factors" sheetId="1" state="visible" r:id="rId1"/>
    <sheet xmlns:r="http://schemas.openxmlformats.org/officeDocument/2006/relationships" name="2_Ranking_Comparison" sheetId="2" state="visible" r:id="rId2"/>
    <sheet xmlns:r="http://schemas.openxmlformats.org/officeDocument/2006/relationships" name="3_HoldOut_Validation" sheetId="3" state="visible" r:id="rId3"/>
    <sheet xmlns:r="http://schemas.openxmlformats.org/officeDocument/2006/relationships" name="4_Reliability_Weights" sheetId="4" state="visible" r:id="rId4"/>
    <sheet xmlns:r="http://schemas.openxmlformats.org/officeDocument/2006/relationships" name="4b_Impact_Weights" sheetId="5" state="visible" r:id="rId5"/>
    <sheet xmlns:r="http://schemas.openxmlformats.org/officeDocument/2006/relationships" name="5_Statistical_Analysis" sheetId="6" state="visible" r:id="rId6"/>
    <sheet xmlns:r="http://schemas.openxmlformats.org/officeDocument/2006/relationships" name="6_Tree_Propag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2"/>
    </font>
    <font>
      <i val="1"/>
      <color rgb="00555555"/>
      <sz val="9"/>
    </font>
    <font>
      <b val="1"/>
      <color rgb="00FFFFFF"/>
      <sz val="11"/>
    </font>
    <font>
      <b val="1"/>
    </font>
    <font>
      <b val="1"/>
      <color rgb="001F7A1F"/>
    </font>
    <font>
      <i val="1"/>
      <color rgb="00555555"/>
    </font>
    <font>
      <i val="1"/>
      <color rgb="00C55A1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7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6" customWidth="1" min="3" max="3"/>
    <col width="24" customWidth="1" min="4" max="4"/>
    <col width="13" customWidth="1" min="5" max="5"/>
    <col width="14" customWidth="1" min="6" max="6"/>
    <col width="13" customWidth="1" min="7" max="7"/>
    <col width="12" customWidth="1" min="8" max="8"/>
    <col width="26" customWidth="1" min="9" max="9"/>
  </cols>
  <sheetData>
    <row r="1">
      <c r="A1" s="1" t="inlineStr">
        <is>
          <t>Graded Defense Factors — real run 2026-08-01 (DVWA calibration, scripted curl (PowerShell), multi-payload)</t>
        </is>
      </c>
    </row>
    <row r="2">
      <c r="A2" s="2" t="inlineStr">
        <is>
          <t>d = (payloads succeeding THROUGH the WAF) / (payloads succeeding WITHOUT it). Each class probed with a payload set, not one attempt.</t>
        </is>
      </c>
    </row>
    <row r="4">
      <c r="A4" s="3" t="inlineStr">
        <is>
          <t>Node</t>
        </is>
      </c>
      <c r="B4" s="3" t="inlineStr">
        <is>
          <t>CWE</t>
        </is>
      </c>
      <c r="C4" s="3" t="inlineStr">
        <is>
          <t>Mechanism</t>
        </is>
      </c>
      <c r="D4" s="3" t="inlineStr">
        <is>
          <t>Access path</t>
        </is>
      </c>
      <c r="E4" s="3" t="inlineStr">
        <is>
          <t>Payloads (n)</t>
        </is>
      </c>
      <c r="F4" s="3" t="inlineStr">
        <is>
          <t>Success undef.</t>
        </is>
      </c>
      <c r="G4" s="3" t="inlineStr">
        <is>
          <t>Success def.</t>
        </is>
      </c>
      <c r="H4" s="3" t="inlineStr">
        <is>
          <t>Measured d</t>
        </is>
      </c>
      <c r="I4" s="3" t="inlineStr">
        <is>
          <t>Evidence file</t>
        </is>
      </c>
    </row>
    <row r="5">
      <c r="A5" s="4" t="inlineStr">
        <is>
          <t>SQL Injection</t>
        </is>
      </c>
      <c r="B5" s="4" t="inlineStr">
        <is>
          <t>CWE-89</t>
        </is>
      </c>
      <c r="C5" s="4" t="inlineStr">
        <is>
          <t>direct injection (GET)</t>
        </is>
      </c>
      <c r="D5" s="4" t="inlineStr">
        <is>
          <t>inbound-inspected</t>
        </is>
      </c>
      <c r="E5" s="4" t="n">
        <v>20</v>
      </c>
      <c r="F5" s="4" t="n">
        <v>18</v>
      </c>
      <c r="G5" s="4" t="n">
        <v>0</v>
      </c>
      <c r="H5" s="5" t="n">
        <v>0</v>
      </c>
      <c r="I5" s="4" t="inlineStr">
        <is>
          <t>sqli_payload_matrix.csv</t>
        </is>
      </c>
    </row>
    <row r="6">
      <c r="A6" s="4" t="inlineStr">
        <is>
          <t>Command Injection</t>
        </is>
      </c>
      <c r="B6" s="4" t="inlineStr">
        <is>
          <t>CWE-78</t>
        </is>
      </c>
      <c r="C6" s="4" t="inlineStr">
        <is>
          <t>direct injection (POST)</t>
        </is>
      </c>
      <c r="D6" s="4" t="inlineStr">
        <is>
          <t>inbound-inspected</t>
        </is>
      </c>
      <c r="E6" s="4" t="n">
        <v>13</v>
      </c>
      <c r="F6" s="4" t="n">
        <v>10</v>
      </c>
      <c r="G6" s="4" t="n">
        <v>5</v>
      </c>
      <c r="H6" s="5" t="n">
        <v>0.5</v>
      </c>
      <c r="I6" s="4" t="inlineStr">
        <is>
          <t>cmdi_payload_matrix.csv</t>
        </is>
      </c>
    </row>
    <row r="7">
      <c r="A7" s="4" t="inlineStr">
        <is>
          <t>Reflected XSS</t>
        </is>
      </c>
      <c r="B7" s="4" t="inlineStr">
        <is>
          <t>CWE-79</t>
        </is>
      </c>
      <c r="C7" s="4" t="inlineStr">
        <is>
          <t>reflected (GET)</t>
        </is>
      </c>
      <c r="D7" s="4" t="inlineStr">
        <is>
          <t>inbound-inspected</t>
        </is>
      </c>
      <c r="E7" s="4" t="n">
        <v>16</v>
      </c>
      <c r="F7" s="4" t="n">
        <v>16</v>
      </c>
      <c r="G7" s="4" t="n">
        <v>0</v>
      </c>
      <c r="H7" s="5" t="n">
        <v>0</v>
      </c>
      <c r="I7" s="4" t="inlineStr">
        <is>
          <t>xss_reflected_matrix.csv</t>
        </is>
      </c>
    </row>
    <row r="8">
      <c r="A8" s="4" t="inlineStr">
        <is>
          <t>Stored XSS (direct store via WAF)</t>
        </is>
      </c>
      <c r="B8" s="4" t="inlineStr">
        <is>
          <t>CWE-79</t>
        </is>
      </c>
      <c r="C8" s="4" t="inlineStr">
        <is>
          <t>persisted, direct POST</t>
        </is>
      </c>
      <c r="D8" s="4" t="inlineStr">
        <is>
          <t>inbound-inspected</t>
        </is>
      </c>
      <c r="E8" s="4" t="n">
        <v>10</v>
      </c>
      <c r="F8" s="4" t="n">
        <v>10</v>
      </c>
      <c r="G8" s="4" t="n">
        <v>0</v>
      </c>
      <c r="H8" s="5" t="n">
        <v>0</v>
      </c>
      <c r="I8" s="4" t="inlineStr">
        <is>
          <t>xss_stored_matrix.csv</t>
        </is>
      </c>
    </row>
    <row r="9">
      <c r="A9" s="4" t="inlineStr">
        <is>
          <t>Stored XSS (off-path store, view via WAF)</t>
        </is>
      </c>
      <c r="B9" s="4" t="inlineStr">
        <is>
          <t>CWE-79</t>
        </is>
      </c>
      <c r="C9" s="4" t="inlineStr">
        <is>
          <t>persisted, off-path</t>
        </is>
      </c>
      <c r="D9" s="4" t="inlineStr">
        <is>
          <t>outbound-not-blocked</t>
        </is>
      </c>
      <c r="E9" s="4" t="n">
        <v>5</v>
      </c>
      <c r="F9" s="4" t="n">
        <v>5</v>
      </c>
      <c r="G9" s="4" t="n">
        <v>5</v>
      </c>
      <c r="H9" s="5" t="n">
        <v>1</v>
      </c>
      <c r="I9" s="4" t="inlineStr">
        <is>
          <t>xss_stored_crossport.csv</t>
        </is>
      </c>
    </row>
    <row r="10">
      <c r="A10" s="4" t="inlineStr">
        <is>
          <t>File Inclusion / Path Traversal</t>
        </is>
      </c>
      <c r="B10" s="4" t="inlineStr">
        <is>
          <t>CWE-22</t>
        </is>
      </c>
      <c r="C10" s="4" t="inlineStr">
        <is>
          <t>direct injection (GET)</t>
        </is>
      </c>
      <c r="D10" s="4" t="inlineStr">
        <is>
          <t>inbound-inspected</t>
        </is>
      </c>
      <c r="E10" s="4" t="n">
        <v>10</v>
      </c>
      <c r="F10" s="4" t="n">
        <v>3</v>
      </c>
      <c r="G10" s="4" t="n">
        <v>0</v>
      </c>
      <c r="H10" s="5" t="n">
        <v>0</v>
      </c>
      <c r="I10" s="4" t="inlineStr">
        <is>
          <t>lfi_matrix.csv</t>
        </is>
      </c>
    </row>
    <row r="11">
      <c r="A11" s="4" t="inlineStr">
        <is>
          <t>CSRF</t>
        </is>
      </c>
      <c r="B11" s="4" t="inlineStr">
        <is>
          <t>CWE-352</t>
        </is>
      </c>
      <c r="C11" s="4" t="inlineStr">
        <is>
          <t>logic (legitimate request)</t>
        </is>
      </c>
      <c r="D11" s="4" t="inlineStr">
        <is>
          <t>not-injection-signature</t>
        </is>
      </c>
      <c r="E11" s="4" t="n">
        <v>10</v>
      </c>
      <c r="F11" s="4" t="n">
        <v>10</v>
      </c>
      <c r="G11" s="4" t="n">
        <v>10</v>
      </c>
      <c r="H11" s="5" t="n">
        <v>1</v>
      </c>
      <c r="I11" s="4" t="inlineStr">
        <is>
          <t>csrf_matrix.csv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0" customWidth="1" min="4" max="4"/>
    <col width="14" customWidth="1" min="5" max="5"/>
    <col width="18" customWidth="1" min="6" max="6"/>
    <col width="20" customWidth="1" min="7" max="7"/>
    <col width="14" customWidth="1" min="8" max="8"/>
    <col width="26" customWidth="1" min="9" max="9"/>
  </cols>
  <sheetData>
    <row r="1">
      <c r="A1" s="1" t="inlineStr">
        <is>
          <t>Ranking under defense: reliability+defense-aware vs defense-blind impact-only baseline</t>
        </is>
      </c>
    </row>
    <row r="2">
      <c r="A2" s="2" t="inlineStr">
        <is>
          <t>Priority_ours = w(reliability) x Impact x d.  The impact-only baseline is defense-blind: identical in both conditions.</t>
        </is>
      </c>
    </row>
    <row r="4">
      <c r="A4" s="3" t="inlineStr">
        <is>
          <t>Node</t>
        </is>
      </c>
      <c r="B4" s="3" t="inlineStr">
        <is>
          <t>Vulnerability</t>
        </is>
      </c>
      <c r="C4" s="3" t="inlineStr">
        <is>
          <t>Reliability w</t>
        </is>
      </c>
      <c r="D4" s="3" t="inlineStr">
        <is>
          <t>Impact</t>
        </is>
      </c>
      <c r="E4" s="3" t="inlineStr">
        <is>
          <t>d (measured)</t>
        </is>
      </c>
      <c r="F4" s="3" t="inlineStr">
        <is>
          <t>Ours UNDEF (d=1)</t>
        </is>
      </c>
      <c r="G4" s="3" t="inlineStr">
        <is>
          <t>Ours DEF (measured d)</t>
        </is>
      </c>
      <c r="H4" s="3" t="inlineStr">
        <is>
          <t>Impact-only baseline (both)</t>
        </is>
      </c>
      <c r="I4" s="3" t="inlineStr">
        <is>
          <t>Exploitable under defense</t>
        </is>
      </c>
    </row>
    <row r="5">
      <c r="A5" s="4" t="inlineStr">
        <is>
          <t>N1</t>
        </is>
      </c>
      <c r="B5" s="4" t="inlineStr">
        <is>
          <t>SQL Injection</t>
        </is>
      </c>
      <c r="C5" s="4" t="n">
        <v>0.85</v>
      </c>
      <c r="D5" s="4" t="n">
        <v>0.9</v>
      </c>
      <c r="E5" s="4" t="n">
        <v>0</v>
      </c>
      <c r="F5" s="4" t="n">
        <v>0.765</v>
      </c>
      <c r="G5" s="4" t="n">
        <v>0</v>
      </c>
      <c r="H5" s="4" t="n">
        <v>0.9</v>
      </c>
      <c r="I5" s="4" t="inlineStr">
        <is>
          <t>No</t>
        </is>
      </c>
    </row>
    <row r="6">
      <c r="A6" s="4" t="inlineStr">
        <is>
          <t>N2</t>
        </is>
      </c>
      <c r="B6" s="4" t="inlineStr">
        <is>
          <t>Command Injection</t>
        </is>
      </c>
      <c r="C6" s="4" t="n">
        <v>0.9</v>
      </c>
      <c r="D6" s="4" t="n">
        <v>0.95</v>
      </c>
      <c r="E6" s="4" t="n">
        <v>0.5</v>
      </c>
      <c r="F6" s="4" t="n">
        <v>0.855</v>
      </c>
      <c r="G6" s="4" t="n">
        <v>0.428</v>
      </c>
      <c r="H6" s="4" t="n">
        <v>0.95</v>
      </c>
      <c r="I6" s="4" t="inlineStr">
        <is>
          <t>Yes (partial: id variants)</t>
        </is>
      </c>
    </row>
    <row r="7">
      <c r="A7" s="4" t="inlineStr">
        <is>
          <t>N3</t>
        </is>
      </c>
      <c r="B7" s="4" t="inlineStr">
        <is>
          <t>Reflected XSS</t>
        </is>
      </c>
      <c r="C7" s="4" t="n">
        <v>0.85</v>
      </c>
      <c r="D7" s="4" t="n">
        <v>0.6</v>
      </c>
      <c r="E7" s="4" t="n">
        <v>0</v>
      </c>
      <c r="F7" s="4" t="n">
        <v>0.51</v>
      </c>
      <c r="G7" s="4" t="n">
        <v>0</v>
      </c>
      <c r="H7" s="4" t="n">
        <v>0.6</v>
      </c>
      <c r="I7" s="4" t="inlineStr">
        <is>
          <t>No</t>
        </is>
      </c>
    </row>
    <row r="8">
      <c r="A8" s="4" t="inlineStr">
        <is>
          <t>N4</t>
        </is>
      </c>
      <c r="B8" s="4" t="inlineStr">
        <is>
          <t>Stored XSS (direct)</t>
        </is>
      </c>
      <c r="C8" s="4" t="n">
        <v>0.8</v>
      </c>
      <c r="D8" s="4" t="n">
        <v>0.6</v>
      </c>
      <c r="E8" s="4" t="n">
        <v>0</v>
      </c>
      <c r="F8" s="4" t="n">
        <v>0.48</v>
      </c>
      <c r="G8" s="4" t="n">
        <v>0</v>
      </c>
      <c r="H8" s="4" t="n">
        <v>0.6</v>
      </c>
      <c r="I8" s="4" t="inlineStr">
        <is>
          <t>No</t>
        </is>
      </c>
    </row>
    <row r="9">
      <c r="A9" s="4" t="inlineStr">
        <is>
          <t>N5</t>
        </is>
      </c>
      <c r="B9" s="4" t="inlineStr">
        <is>
          <t>Stored XSS (off-path)</t>
        </is>
      </c>
      <c r="C9" s="4" t="n">
        <v>0.8</v>
      </c>
      <c r="D9" s="4" t="n">
        <v>0.6</v>
      </c>
      <c r="E9" s="4" t="n">
        <v>1</v>
      </c>
      <c r="F9" s="4" t="n">
        <v>0.48</v>
      </c>
      <c r="G9" s="4" t="n">
        <v>0.48</v>
      </c>
      <c r="H9" s="4" t="n">
        <v>0.6</v>
      </c>
      <c r="I9" s="4" t="inlineStr">
        <is>
          <t>Yes</t>
        </is>
      </c>
    </row>
    <row r="10">
      <c r="A10" s="4" t="inlineStr">
        <is>
          <t>N6</t>
        </is>
      </c>
      <c r="B10" s="4" t="inlineStr">
        <is>
          <t>File Inclusion</t>
        </is>
      </c>
      <c r="C10" s="4" t="n">
        <v>0.75</v>
      </c>
      <c r="D10" s="4" t="n">
        <v>0.7</v>
      </c>
      <c r="E10" s="4" t="n">
        <v>0</v>
      </c>
      <c r="F10" s="4" t="n">
        <v>0.525</v>
      </c>
      <c r="G10" s="4" t="n">
        <v>0</v>
      </c>
      <c r="H10" s="4" t="n">
        <v>0.7</v>
      </c>
      <c r="I10" s="4" t="inlineStr">
        <is>
          <t>No</t>
        </is>
      </c>
    </row>
    <row r="11">
      <c r="A11" s="4" t="inlineStr">
        <is>
          <t>N7</t>
        </is>
      </c>
      <c r="B11" s="4" t="inlineStr">
        <is>
          <t>CSRF</t>
        </is>
      </c>
      <c r="C11" s="4" t="n">
        <v>0.75</v>
      </c>
      <c r="D11" s="4" t="n">
        <v>0.65</v>
      </c>
      <c r="E11" s="4" t="n">
        <v>1</v>
      </c>
      <c r="F11" s="4" t="n">
        <v>0.4875</v>
      </c>
      <c r="G11" s="4" t="n">
        <v>0.4875</v>
      </c>
      <c r="H11" s="4" t="n">
        <v>0.65</v>
      </c>
      <c r="I11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Hold-out validation — Juice Shop (d NOT re-measured, only predicted)</t>
        </is>
      </c>
    </row>
    <row r="2">
      <c r="A2" s="2" t="inlineStr">
        <is>
          <t>d calibrated on DVWA (PHP). Same WAF applied to Juice Shop (Node.js/API). Prediction: injection-mechanism attacks attenuated.</t>
        </is>
      </c>
    </row>
    <row r="4">
      <c r="A4" s="3" t="inlineStr">
        <is>
          <t>Attack</t>
        </is>
      </c>
      <c r="B4" s="3" t="inlineStr">
        <is>
          <t>Class/Mechanism</t>
        </is>
      </c>
      <c r="C4" s="3" t="inlineStr">
        <is>
          <t>Undef code</t>
        </is>
      </c>
      <c r="D4" s="3" t="inlineStr">
        <is>
          <t>Def code</t>
        </is>
      </c>
      <c r="E4" s="3" t="inlineStr">
        <is>
          <t>Consistent with WAF intervention?</t>
        </is>
      </c>
    </row>
    <row r="5">
      <c r="A5" s="4" t="inlineStr">
        <is>
          <t>SQLi login bypass</t>
        </is>
      </c>
      <c r="B5" s="4" t="inlineStr">
        <is>
          <t>CWE-89 injection</t>
        </is>
      </c>
      <c r="C5" s="4" t="inlineStr">
        <is>
          <t>500</t>
        </is>
      </c>
      <c r="D5" s="4" t="inlineStr">
        <is>
          <t>400</t>
        </is>
      </c>
      <c r="E5" s="4" t="inlineStr">
        <is>
          <t>consistent (500-&gt;400 / 200-&gt;403)</t>
        </is>
      </c>
    </row>
    <row r="6">
      <c r="A6" s="4" t="inlineStr">
        <is>
          <t>SQLi login tautology</t>
        </is>
      </c>
      <c r="B6" s="4" t="inlineStr">
        <is>
          <t>CWE-89 injection</t>
        </is>
      </c>
      <c r="C6" s="4" t="inlineStr">
        <is>
          <t>500</t>
        </is>
      </c>
      <c r="D6" s="4" t="inlineStr">
        <is>
          <t>400</t>
        </is>
      </c>
      <c r="E6" s="4" t="inlineStr">
        <is>
          <t>consistent (500-&gt;400 / 200-&gt;403)</t>
        </is>
      </c>
    </row>
    <row r="7">
      <c r="A7" s="4" t="inlineStr">
        <is>
          <t>SQLi union</t>
        </is>
      </c>
      <c r="B7" s="4" t="inlineStr">
        <is>
          <t>CWE-89 injection</t>
        </is>
      </c>
      <c r="C7" s="4" t="inlineStr">
        <is>
          <t>500</t>
        </is>
      </c>
      <c r="D7" s="4" t="inlineStr">
        <is>
          <t>400</t>
        </is>
      </c>
      <c r="E7" s="4" t="inlineStr">
        <is>
          <t>consistent (500-&gt;400 / 200-&gt;403)</t>
        </is>
      </c>
    </row>
    <row r="8">
      <c r="A8" s="4" t="inlineStr">
        <is>
          <t>Reflected XSS (search)</t>
        </is>
      </c>
      <c r="B8" s="4" t="inlineStr">
        <is>
          <t>CWE-79 injection</t>
        </is>
      </c>
      <c r="C8" s="4" t="inlineStr">
        <is>
          <t>200</t>
        </is>
      </c>
      <c r="D8" s="4" t="inlineStr">
        <is>
          <t>403</t>
        </is>
      </c>
      <c r="E8" s="4" t="inlineStr">
        <is>
          <t>consistent (500-&gt;400 / 200-&gt;403)</t>
        </is>
      </c>
    </row>
    <row r="9">
      <c r="A9" s="4" t="inlineStr">
        <is>
          <t>Path traversal (encoded)</t>
        </is>
      </c>
      <c r="B9" s="4" t="inlineStr">
        <is>
          <t>CWE-22 path</t>
        </is>
      </c>
      <c r="C9" s="4" t="inlineStr">
        <is>
          <t>403</t>
        </is>
      </c>
      <c r="D9" s="4" t="inlineStr">
        <is>
          <t>404</t>
        </is>
      </c>
      <c r="E9" s="4" t="inlineStr">
        <is>
          <t>not consistent (403 -&gt; 404; no injection-class transition)</t>
        </is>
      </c>
    </row>
    <row r="11">
      <c r="A11" s="6" t="inlineStr">
        <is>
          <t>RESULT: all four injection-class attacks showed status transitions consistent with WAF intervention on a target the factor was never tuned for.</t>
        </is>
      </c>
    </row>
    <row r="12">
      <c r="A12" s="7" t="inlineStr">
        <is>
          <t>Result: defense factor transfers by ATTACK MECHANISM across target + technology stack. Validation is held-out transfer (see paper 4.7).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44" customWidth="1" min="4" max="4"/>
    <col width="40" customWidth="1" min="5" max="5"/>
  </cols>
  <sheetData>
    <row r="1">
      <c r="A1" s="1" t="inlineStr">
        <is>
          <t>Reliability weights w(tool,class) — from published benchmarks (NOT P(vuln|alert))</t>
        </is>
      </c>
    </row>
    <row r="2">
      <c r="A2" s="2" t="inlineStr">
        <is>
          <t>w is a reliability weight in [0,1], not a posterior probability. See paper Sec 3.3 for the precision-vs-TPR clarification.</t>
        </is>
      </c>
    </row>
    <row r="4">
      <c r="A4" s="3" t="inlineStr">
        <is>
          <t>Class</t>
        </is>
      </c>
      <c r="B4" s="3" t="inlineStr">
        <is>
          <t>CWE</t>
        </is>
      </c>
      <c r="C4" s="3" t="inlineStr">
        <is>
          <t>Weight w used</t>
        </is>
      </c>
      <c r="D4" s="3" t="inlineStr">
        <is>
          <t>Source (min–max range)</t>
        </is>
      </c>
      <c r="E4" s="3" t="inlineStr">
        <is>
          <t>Note</t>
        </is>
      </c>
    </row>
    <row r="5">
      <c r="A5" s="4" t="inlineStr">
        <is>
          <t>SQL Injection</t>
        </is>
      </c>
      <c r="B5" s="4" t="inlineStr">
        <is>
          <t>CWE-89</t>
        </is>
      </c>
      <c r="C5" s="4" t="n">
        <v>0.85</v>
      </c>
      <c r="D5" s="4" t="inlineStr">
        <is>
          <t>ZAP OWASP Benchmark ~0.69; DVWA testbed ~near-1.0</t>
        </is>
      </c>
      <c r="E5" s="4" t="inlineStr">
        <is>
          <t>range across testbeds; conservative mid-value used</t>
        </is>
      </c>
    </row>
    <row r="6">
      <c r="A6" s="4" t="inlineStr">
        <is>
          <t>Command Injection</t>
        </is>
      </c>
      <c r="B6" s="4" t="inlineStr">
        <is>
          <t>CWE-78</t>
        </is>
      </c>
      <c r="C6" s="4" t="n">
        <v>0.9</v>
      </c>
      <c r="D6" s="4" t="inlineStr">
        <is>
          <t>ZAP/CRS command-injection detection (benchmark)</t>
        </is>
      </c>
      <c r="E6" s="4" t="inlineStr">
        <is>
          <t>high-signal class</t>
        </is>
      </c>
    </row>
    <row r="7">
      <c r="A7" s="4" t="inlineStr">
        <is>
          <t>Reflected XSS</t>
        </is>
      </c>
      <c r="B7" s="4" t="inlineStr">
        <is>
          <t>CWE-79</t>
        </is>
      </c>
      <c r="C7" s="4" t="n">
        <v>0.85</v>
      </c>
      <c r="D7" s="4" t="inlineStr">
        <is>
          <t>ZAP OWASP Benchmark XSS TPR</t>
        </is>
      </c>
      <c r="E7" s="4" t="inlineStr">
        <is>
          <t>reflected variant</t>
        </is>
      </c>
    </row>
    <row r="8">
      <c r="A8" s="4" t="inlineStr">
        <is>
          <t>Stored XSS</t>
        </is>
      </c>
      <c r="B8" s="4" t="inlineStr">
        <is>
          <t>CWE-79</t>
        </is>
      </c>
      <c r="C8" s="4" t="n">
        <v>0.8</v>
      </c>
      <c r="D8" s="4" t="inlineStr">
        <is>
          <t>ZAP OWASP Benchmark XSS TPR (persisted lower)</t>
        </is>
      </c>
      <c r="E8" s="4" t="inlineStr">
        <is>
          <t>persisted detection lower than reflected</t>
        </is>
      </c>
    </row>
    <row r="9">
      <c r="A9" s="4" t="inlineStr">
        <is>
          <t>File Inclusion</t>
        </is>
      </c>
      <c r="B9" s="4" t="inlineStr">
        <is>
          <t>CWE-22</t>
        </is>
      </c>
      <c r="C9" s="4" t="n">
        <v>0.75</v>
      </c>
      <c r="D9" s="4" t="inlineStr">
        <is>
          <t>ZAP path-traversal TPR (benchmark, low class)</t>
        </is>
      </c>
      <c r="E9" s="4" t="inlineStr">
        <is>
          <t>path-traversal historically low TPR</t>
        </is>
      </c>
    </row>
    <row r="10">
      <c r="A10" s="4" t="inlineStr">
        <is>
          <t>CSRF</t>
        </is>
      </c>
      <c r="B10" s="4" t="inlineStr">
        <is>
          <t>CWE-352</t>
        </is>
      </c>
      <c r="C10" s="4" t="n">
        <v>0.75</v>
      </c>
      <c r="D10" s="4" t="inlineStr">
        <is>
          <t>ZAP CSRF token-absence detection</t>
        </is>
      </c>
      <c r="E10" s="4" t="inlineStr">
        <is>
          <t>logic-class detection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62" customWidth="1" min="4" max="4"/>
    <col width="34" customWidth="1" min="5" max="5"/>
  </cols>
  <sheetData>
    <row r="1">
      <c r="A1" s="11" t="inlineStr">
        <is>
          <t>Impact weights - ORDINAL severity weights by expert judgement (NOT computed CVSS impact subscores)</t>
        </is>
      </c>
      <c r="B1" s="11" t="n"/>
      <c r="C1" s="11" t="n"/>
      <c r="D1" s="11" t="n"/>
      <c r="E1" s="11" t="n"/>
    </row>
    <row r="2">
      <c r="A2" t="inlineStr">
        <is>
          <t>Impact in [0,1] is an ordinal severity weight. It is NOT derived from the impact subscore of any specific CVE vector.</t>
        </is>
      </c>
    </row>
    <row r="3">
      <c r="A3" t="inlineStr">
        <is>
          <t>It is informed by the relative severity ordering CVSS v3.1 impact metrics express for these classes. See paper Sec 3.3.</t>
        </is>
      </c>
    </row>
    <row r="5">
      <c r="A5" s="12" t="inlineStr">
        <is>
          <t>Class</t>
        </is>
      </c>
      <c r="B5" s="12" t="inlineStr">
        <is>
          <t>CWE</t>
        </is>
      </c>
      <c r="C5" s="12" t="inlineStr">
        <is>
          <t>Impact used</t>
        </is>
      </c>
      <c r="D5" s="12" t="inlineStr">
        <is>
          <t>Ordering rationale</t>
        </is>
      </c>
      <c r="E5" s="12" t="inlineStr">
        <is>
          <t>Note</t>
        </is>
      </c>
    </row>
    <row r="6">
      <c r="A6" s="13" t="inlineStr">
        <is>
          <t>Command Injection</t>
        </is>
      </c>
      <c r="B6" s="13" t="inlineStr">
        <is>
          <t>CWE-78</t>
        </is>
      </c>
      <c r="C6" s="13" t="n">
        <v>0.95</v>
      </c>
      <c r="D6" s="13" t="inlineStr">
        <is>
          <t>Rank 1: arbitrary command execution on the host - full C/I/A loss</t>
        </is>
      </c>
      <c r="E6" s="13" t="inlineStr">
        <is>
          <t>highest severity of the set</t>
        </is>
      </c>
    </row>
    <row r="7">
      <c r="A7" s="13" t="inlineStr">
        <is>
          <t>SQL Injection</t>
        </is>
      </c>
      <c r="B7" s="13" t="inlineStr">
        <is>
          <t>CWE-89</t>
        </is>
      </c>
      <c r="C7" s="13" t="n">
        <v>0.9</v>
      </c>
      <c r="D7" s="13" t="inlineStr">
        <is>
          <t>Rank 2: database read/write - high confidentiality and integrity loss</t>
        </is>
      </c>
      <c r="E7" s="13" t="inlineStr">
        <is>
          <t>below RCE, above file read</t>
        </is>
      </c>
    </row>
    <row r="8">
      <c r="A8" s="13" t="inlineStr">
        <is>
          <t>File Inclusion</t>
        </is>
      </c>
      <c r="B8" s="13" t="inlineStr">
        <is>
          <t>CWE-22</t>
        </is>
      </c>
      <c r="C8" s="13" t="n">
        <v>0.7</v>
      </c>
      <c r="D8" s="13" t="inlineStr">
        <is>
          <t>Rank 3: arbitrary file read - confidentiality loss, no direct integrity loss</t>
        </is>
      </c>
      <c r="E8" s="13" t="inlineStr"/>
    </row>
    <row r="9">
      <c r="A9" s="13" t="inlineStr">
        <is>
          <t>CSRF</t>
        </is>
      </c>
      <c r="B9" s="13" t="inlineStr">
        <is>
          <t>CWE-352</t>
        </is>
      </c>
      <c r="C9" s="13" t="n">
        <v>0.65</v>
      </c>
      <c r="D9" s="13" t="inlineStr">
        <is>
          <t>Rank 4: integrity loss via a forced state change, requires victim interaction</t>
        </is>
      </c>
      <c r="E9" s="13" t="inlineStr"/>
    </row>
    <row r="10">
      <c r="A10" s="13" t="inlineStr">
        <is>
          <t>Reflected XSS</t>
        </is>
      </c>
      <c r="B10" s="13" t="inlineStr">
        <is>
          <t>CWE-79</t>
        </is>
      </c>
      <c r="C10" s="13" t="n">
        <v>0.6</v>
      </c>
      <c r="D10" s="13" t="inlineStr">
        <is>
          <t>Rank 5: script execution in a victim browser - scoped to the victim session</t>
        </is>
      </c>
      <c r="E10" s="13" t="inlineStr"/>
    </row>
    <row r="11">
      <c r="A11" s="13" t="inlineStr">
        <is>
          <t>Stored XSS (direct)</t>
        </is>
      </c>
      <c r="B11" s="13" t="inlineStr">
        <is>
          <t>CWE-79</t>
        </is>
      </c>
      <c r="C11" s="13" t="n">
        <v>0.6</v>
      </c>
      <c r="D11" s="13" t="inlineStr">
        <is>
          <t>Rank 5 (same class, same severity weight)</t>
        </is>
      </c>
      <c r="E11" s="13" t="inlineStr">
        <is>
          <t>d differs by mechanism, Impact does not</t>
        </is>
      </c>
    </row>
    <row r="12">
      <c r="A12" s="13" t="inlineStr">
        <is>
          <t>Stored XSS (off-path)</t>
        </is>
      </c>
      <c r="B12" s="13" t="inlineStr">
        <is>
          <t>CWE-79</t>
        </is>
      </c>
      <c r="C12" s="13" t="n">
        <v>0.6</v>
      </c>
      <c r="D12" s="13" t="inlineStr">
        <is>
          <t>Rank 5 (same class, same severity weight)</t>
        </is>
      </c>
      <c r="E12" s="13" t="inlineStr">
        <is>
          <t>d differs by mechanism, Impact does not</t>
        </is>
      </c>
    </row>
    <row r="13">
      <c r="A13" s="13" t="n"/>
      <c r="B13" s="13" t="n"/>
      <c r="C13" s="13" t="n"/>
      <c r="D13" s="13" t="n"/>
      <c r="E13" s="13" t="n"/>
    </row>
    <row r="14">
      <c r="A14" s="13" t="inlineStr">
        <is>
          <t>CAVEAT: these weights carry little inferential load. The ranking under defense is dominated by the measured d,</t>
        </is>
      </c>
      <c r="B14" s="13" t="n"/>
      <c r="C14" s="13" t="n"/>
      <c r="D14" s="13" t="n"/>
      <c r="E14" s="13" t="n"/>
    </row>
    <row r="15">
      <c r="A15" s="13" t="inlineStr">
        <is>
          <t>not by Impact or w - see sheet 5_Statistical_Analysis and results/sensitivity_analysis.json.</t>
        </is>
      </c>
      <c r="B15" s="13" t="n"/>
      <c r="C15" s="13" t="n"/>
      <c r="D15" s="13" t="n"/>
      <c r="E15" s="13" t="n"/>
    </row>
    <row r="16">
      <c r="A16" s="13" t="inlineStr">
        <is>
          <t>The baseline compared against in paper Table 4 is this Impact column used alone ('impact-only, defense-blind'),</t>
        </is>
      </c>
      <c r="B16" s="13" t="n"/>
      <c r="C16" s="13" t="n"/>
      <c r="D16" s="13" t="n"/>
      <c r="E16" s="13" t="n"/>
    </row>
    <row r="17">
      <c r="A17" s="13" t="inlineStr">
        <is>
          <t>which is why the paper does not call it a CVSS base score.</t>
        </is>
      </c>
      <c r="B17" s="13" t="n"/>
      <c r="C17" s="13" t="n"/>
      <c r="D17" s="13" t="n"/>
      <c r="E1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Correlation with actual exploitability under defense (n=7)</t>
        </is>
      </c>
    </row>
    <row r="2">
      <c r="A2" s="2" t="inlineStr">
        <is>
          <t>Binary ground truth -&gt; rank-biserial (appropriate) + bootstrap 95% CI. Spearman shown for comparison.</t>
        </is>
      </c>
    </row>
    <row r="4">
      <c r="A4" s="3" t="inlineStr">
        <is>
          <t>Scheme</t>
        </is>
      </c>
      <c r="B4" s="3" t="inlineStr">
        <is>
          <t>rank-biserial</t>
        </is>
      </c>
      <c r="C4" s="3" t="inlineStr">
        <is>
          <t>95% CI (bootstrap)</t>
        </is>
      </c>
      <c r="D4" s="3" t="inlineStr">
        <is>
          <t>Spearman rho</t>
        </is>
      </c>
    </row>
    <row r="5">
      <c r="A5" s="4" t="inlineStr">
        <is>
          <t>Ours (reliability + defense-aware)</t>
        </is>
      </c>
      <c r="B5" s="4" t="inlineStr">
        <is>
          <t>+1.000</t>
        </is>
      </c>
      <c r="C5" s="4" t="inlineStr">
        <is>
          <t>[+1.00, +1.00]</t>
        </is>
      </c>
      <c r="D5" s="4" t="inlineStr">
        <is>
          <t>+0.956</t>
        </is>
      </c>
    </row>
    <row r="6">
      <c r="A6" s="4" t="inlineStr">
        <is>
          <t>Impact-only baseline (defense-blind)</t>
        </is>
      </c>
      <c r="B6" s="4" t="inlineStr">
        <is>
          <t>+0.167</t>
        </is>
      </c>
      <c r="C6" s="4" t="inlineStr">
        <is>
          <t>[-0.80, +1.00]</t>
        </is>
      </c>
      <c r="D6" s="4" t="inlineStr">
        <is>
          <t>+0.150</t>
        </is>
      </c>
    </row>
    <row r="8">
      <c r="A8" s="2" t="inlineStr">
        <is>
          <t>Interpretation (in-sample): defense-aware score separates exploitable-under-defense nodes from blocked ones;</t>
        </is>
      </c>
    </row>
    <row r="9">
      <c r="A9" s="2" t="inlineStr">
        <is>
          <t>the impact-only baseline does not (CI spans zero). This is a consistency check, NOT predictive. Source: FINAL_analysis_stats.json</t>
        </is>
      </c>
    </row>
    <row r="11">
      <c r="A11" t="inlineStr">
        <is>
          <t>NOTE: in-sample descriptive check (score embeds d). Out-of-sample evidence = held-out transfer test (sheet 3).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18" customWidth="1" min="5" max="5"/>
    <col width="46" customWidth="1" min="6" max="6"/>
  </cols>
  <sheetData>
    <row r="1">
      <c r="A1" s="1" t="inlineStr">
        <is>
          <t>Attack-tree propagation with LIVE formulas (OR / AND-SAND / Root) - reliability SCORES, not probabilities</t>
        </is>
      </c>
    </row>
    <row r="2">
      <c r="A2" s="2" t="inlineStr">
        <is>
          <t>Leaf R_def = w x d. Gates use live formulas; values are fusion/propagation SCORES (w is ordinal), read as reliability, not calibrated probabilities.</t>
        </is>
      </c>
    </row>
    <row r="4">
      <c r="A4" s="8" t="inlineStr">
        <is>
          <t>Node / Gate</t>
        </is>
      </c>
      <c r="B4" s="8" t="inlineStr">
        <is>
          <t>Type</t>
        </is>
      </c>
      <c r="C4" s="8" t="inlineStr">
        <is>
          <t>w</t>
        </is>
      </c>
      <c r="D4" s="8" t="inlineStr">
        <is>
          <t>d</t>
        </is>
      </c>
      <c r="E4" s="8" t="inlineStr">
        <is>
          <t>Leaf score R_def = w*d</t>
        </is>
      </c>
      <c r="F4" s="8" t="inlineStr">
        <is>
          <t>Formula / Note</t>
        </is>
      </c>
    </row>
    <row r="5">
      <c r="A5" s="4" t="inlineStr">
        <is>
          <t>SQL Injection</t>
        </is>
      </c>
      <c r="B5" s="4" t="inlineStr">
        <is>
          <t>leaf</t>
        </is>
      </c>
      <c r="C5" s="4" t="n">
        <v>0.85</v>
      </c>
      <c r="D5" s="4" t="n">
        <v>0</v>
      </c>
      <c r="E5" s="4">
        <f>C5*D5</f>
        <v/>
      </c>
      <c r="F5" s="4" t="n"/>
    </row>
    <row r="6">
      <c r="A6" s="4" t="inlineStr">
        <is>
          <t>Reflected XSS</t>
        </is>
      </c>
      <c r="B6" s="4" t="inlineStr">
        <is>
          <t>leaf</t>
        </is>
      </c>
      <c r="C6" s="4" t="n">
        <v>0.85</v>
      </c>
      <c r="D6" s="4" t="n">
        <v>0</v>
      </c>
      <c r="E6" s="4">
        <f>C6*D6</f>
        <v/>
      </c>
      <c r="F6" s="4" t="n"/>
    </row>
    <row r="7">
      <c r="A7" s="4" t="inlineStr">
        <is>
          <t>Command Injection</t>
        </is>
      </c>
      <c r="B7" s="4" t="inlineStr">
        <is>
          <t>leaf</t>
        </is>
      </c>
      <c r="C7" s="4" t="n">
        <v>0.9</v>
      </c>
      <c r="D7" s="4" t="n">
        <v>0.5</v>
      </c>
      <c r="E7" s="4">
        <f>C7*D7</f>
        <v/>
      </c>
      <c r="F7" s="4" t="n"/>
    </row>
    <row r="8">
      <c r="A8" s="4" t="inlineStr">
        <is>
          <t>File Inclusion</t>
        </is>
      </c>
      <c r="B8" s="4" t="inlineStr">
        <is>
          <t>leaf</t>
        </is>
      </c>
      <c r="C8" s="4" t="n">
        <v>0.75</v>
      </c>
      <c r="D8" s="4" t="n">
        <v>0</v>
      </c>
      <c r="E8" s="4">
        <f>C8*D8</f>
        <v/>
      </c>
      <c r="F8" s="4" t="n"/>
    </row>
    <row r="9">
      <c r="A9" s="4" t="inlineStr">
        <is>
          <t>CSRF</t>
        </is>
      </c>
      <c r="B9" s="4" t="inlineStr">
        <is>
          <t>leaf</t>
        </is>
      </c>
      <c r="C9" s="4" t="n">
        <v>0.75</v>
      </c>
      <c r="D9" s="4" t="n">
        <v>1</v>
      </c>
      <c r="E9" s="4">
        <f>C9*D9</f>
        <v/>
      </c>
      <c r="F9" s="4" t="n"/>
    </row>
    <row r="10">
      <c r="A10" s="4" t="inlineStr">
        <is>
          <t>Direct store</t>
        </is>
      </c>
      <c r="B10" s="4" t="inlineStr">
        <is>
          <t>leaf</t>
        </is>
      </c>
      <c r="C10" s="4" t="n">
        <v>0.8</v>
      </c>
      <c r="D10" s="4" t="n">
        <v>0</v>
      </c>
      <c r="E10" s="4">
        <f>C10*D10</f>
        <v/>
      </c>
      <c r="F10" s="4" t="n"/>
    </row>
    <row r="11">
      <c r="A11" s="4" t="inlineStr">
        <is>
          <t>Off-path store</t>
        </is>
      </c>
      <c r="B11" s="4" t="inlineStr">
        <is>
          <t>leaf</t>
        </is>
      </c>
      <c r="C11" s="4" t="n">
        <v>0.8</v>
      </c>
      <c r="D11" s="4" t="n">
        <v>1</v>
      </c>
      <c r="E11" s="4">
        <f>C11*D11</f>
        <v/>
      </c>
      <c r="F11" s="4" t="n"/>
    </row>
    <row r="12">
      <c r="A12" s="4" t="inlineStr">
        <is>
          <t>Admin renders page</t>
        </is>
      </c>
      <c r="B12" s="4" t="inlineStr">
        <is>
          <t>leaf</t>
        </is>
      </c>
      <c r="C12" s="4" t="n">
        <v>1</v>
      </c>
      <c r="D12" s="4" t="n">
        <v>1</v>
      </c>
      <c r="E12" s="4">
        <f>C12*D12</f>
        <v/>
      </c>
      <c r="F12" s="10" t="inlineStr">
        <is>
          <t>SCENARIO ASSUMPTION: set to 1.0 (victim renders); NOT a measured probability</t>
        </is>
      </c>
    </row>
    <row r="13">
      <c r="A13" s="9" t="inlineStr">
        <is>
          <t>OR(injection)</t>
        </is>
      </c>
      <c r="B13" s="4" t="inlineStr">
        <is>
          <t>OR gate</t>
        </is>
      </c>
      <c r="C13" s="4" t="n"/>
      <c r="D13" s="4" t="n"/>
      <c r="E13" s="9">
        <f>1-PRODUCT(1-E5,1-E6,1-E7,1-E8)</f>
        <v/>
      </c>
      <c r="F13" s="4" t="inlineStr">
        <is>
          <t>1 - PROD(1 - child) over SQLi/ReflXSS/CmdInj/LFI</t>
        </is>
      </c>
    </row>
    <row r="14">
      <c r="A14" s="9" t="inlineStr">
        <is>
          <t>OR(payload persisted)</t>
        </is>
      </c>
      <c r="B14" s="4" t="inlineStr">
        <is>
          <t>OR gate</t>
        </is>
      </c>
      <c r="C14" s="4" t="n"/>
      <c r="D14" s="4" t="n"/>
      <c r="E14" s="9">
        <f>1-PRODUCT(1-E10,1-E11)</f>
        <v/>
      </c>
      <c r="F14" s="4" t="inlineStr">
        <is>
          <t>direct-store OR off-path store</t>
        </is>
      </c>
    </row>
    <row r="15">
      <c r="A15" s="9" t="inlineStr">
        <is>
          <t>SAND(persisted-XSS chain)</t>
        </is>
      </c>
      <c r="B15" s="4" t="inlineStr">
        <is>
          <t>AND/SAND gate</t>
        </is>
      </c>
      <c r="C15" s="4" t="n"/>
      <c r="D15" s="4" t="n"/>
      <c r="E15" s="9">
        <f>E14*E12</f>
        <v/>
      </c>
      <c r="F15" s="4" t="inlineStr">
        <is>
          <t>(persisted-store) THEN (admin renders) - sequential AND</t>
        </is>
      </c>
    </row>
    <row r="16">
      <c r="A16" s="9" t="inlineStr">
        <is>
          <t>ROOT (unauthorized action)</t>
        </is>
      </c>
      <c r="B16" s="4" t="inlineStr">
        <is>
          <t>OR gate</t>
        </is>
      </c>
      <c r="C16" s="4" t="n"/>
      <c r="D16" s="4" t="n"/>
      <c r="E16" s="9">
        <f>1-PRODUCT(1-E13,1-E9,1-E15)</f>
        <v/>
      </c>
      <c r="F16" s="4" t="inlineStr">
        <is>
          <t>OR over injection-subtree, CSRF, persisted-XSS chain</t>
        </is>
      </c>
    </row>
    <row r="18">
      <c r="A18" s="2" t="inlineStr">
        <is>
          <t>Interpretation: with the WAF deployed, SQLi, reflected XSS, file inclusion and direct-store collapse to zero (d=0), while command injection is only partially attenuated (d=0.50),</t>
        </is>
      </c>
    </row>
    <row r="19">
      <c r="A19" s="2" t="inlineStr">
        <is>
          <t>so the residual root score is driven by CSRF and the off-path persisted-XSS chain -</t>
        </is>
      </c>
    </row>
    <row r="20">
      <c r="A20" s="2" t="inlineStr">
        <is>
          <t>exactly the paths that remain exploitable under defense. This demonstrates OR/AND(SAND)</t>
        </is>
      </c>
    </row>
    <row r="21">
      <c r="A21" s="2" t="inlineStr">
        <is>
          <t>propagation end-to-end, not just per-leaf ranking.</t>
        </is>
      </c>
    </row>
    <row r="23">
      <c r="A23" s="2" t="inlineStr">
        <is>
          <t>NOTE: These are reliability-propagation SCORES (Eq. 2-5 use a noisy-OR-form score operator, not a probability calculus,</t>
        </is>
      </c>
    </row>
    <row r="24">
      <c r="A24" s="2" t="inlineStr">
        <is>
          <t>because w is an ordinal reliability weight). Admin-render step = scenario assumption (=1.0), not measured.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2026-08-21T22:37:14Z</dcterms:created>
  <dcterms:modified xmlns:dcterms="http://purl.org/dc/terms/" xmlns:xsi="http://www.w3.org/2001/XMLSchema-instance" xsi:type="dcterms:W3CDTF">2026-10-16T21:13:04Z</dcterms:modified>
</cp:coreProperties>
</file>